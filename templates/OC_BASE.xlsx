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ab2cba403508a566/Documentos/OC_Autonomo/"/>
    </mc:Choice>
  </mc:AlternateContent>
  <xr:revisionPtr revIDLastSave="23" documentId="14_{9BAE7F50-22D0-43B9-B1C6-E7389368D950}" xr6:coauthVersionLast="47" xr6:coauthVersionMax="47" xr10:uidLastSave="{0896D4F5-FA5C-46D6-90E7-4074CB10E8B5}"/>
  <bookViews>
    <workbookView xWindow="-108" yWindow="-108" windowWidth="23256" windowHeight="12456" xr2:uid="{00000000-000D-0000-FFFF-FFFF00000000}"/>
  </bookViews>
  <sheets>
    <sheet name="ORDEN DE COMP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E57" i="1"/>
  <c r="C57" i="1"/>
  <c r="B57" i="1"/>
  <c r="F56" i="1"/>
  <c r="E56" i="1"/>
  <c r="E55" i="1"/>
  <c r="B55" i="1"/>
  <c r="E54" i="1"/>
  <c r="E53" i="1"/>
  <c r="B53" i="1"/>
  <c r="E52" i="1"/>
  <c r="B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4" i="1"/>
  <c r="E24" i="1"/>
  <c r="D24" i="1"/>
  <c r="C24" i="1"/>
  <c r="B24" i="1"/>
  <c r="B23" i="1"/>
  <c r="B22" i="1"/>
  <c r="B21" i="1"/>
  <c r="B20" i="1"/>
  <c r="B19" i="1"/>
  <c r="B17" i="1"/>
  <c r="B16" i="1"/>
  <c r="B15" i="1"/>
  <c r="B14" i="1"/>
  <c r="B13" i="1"/>
  <c r="B12" i="1"/>
  <c r="B11" i="1"/>
  <c r="B10" i="1"/>
  <c r="B9" i="1"/>
  <c r="D8" i="1"/>
  <c r="B8" i="1"/>
  <c r="B7" i="1"/>
  <c r="F2" i="1"/>
  <c r="E2" i="1"/>
  <c r="E1" i="1"/>
  <c r="C1" i="1"/>
  <c r="A1" i="1"/>
</calcChain>
</file>

<file path=xl/sharedStrings.xml><?xml version="1.0" encoding="utf-8"?>
<sst xmlns="http://schemas.openxmlformats.org/spreadsheetml/2006/main" count="1" uniqueCount="1">
  <si>
    <t>TRANSFERENCIA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</si>
</sst>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d/m/yyyy"/>
    <numFmt numFmtId="165" formatCode="_-[$$-340A]\ * #,##0_-;\-[$$-340A]\ * #,##0_-;_-[$$-340A]\ * &quot;-&quot;_-;_-@"/>
  </numFmts>
  <fonts count="3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</font>
    <font>
      <b/>
      <sz val="28"/>
      <color rgb="FF44546A"/>
      <name val="Calibri"/>
      <family val="2"/>
    </font>
    <font>
      <sz val="11"/>
      <name val="Calibri"/>
      <family val="2"/>
    </font>
    <font>
      <b/>
      <sz val="24"/>
      <color rgb="FF44546A"/>
      <name val="Calibri"/>
      <family val="2"/>
    </font>
    <font>
      <b/>
      <sz val="12"/>
      <color rgb="FF44546A"/>
      <name val="Calibri"/>
      <family val="2"/>
    </font>
    <font>
      <sz val="14"/>
      <color theme="1"/>
      <name val="Calibri"/>
      <family val="2"/>
    </font>
    <font>
      <b/>
      <sz val="20"/>
      <color rgb="FF44546A"/>
      <name val="Calibri"/>
      <family val="2"/>
    </font>
    <font>
      <b/>
      <sz val="14"/>
      <color theme="1"/>
      <name val="Calibri"/>
      <family val="2"/>
    </font>
    <font>
      <sz val="11"/>
      <color theme="1"/>
      <name val="Arial"/>
      <family val="2"/>
    </font>
    <font>
      <b/>
      <sz val="14"/>
      <color rgb="FF44546A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rgb="FF44546A"/>
      <name val="Calibri"/>
      <family val="2"/>
    </font>
    <font>
      <u/>
      <sz val="11"/>
      <color theme="10"/>
      <name val="Anton"/>
    </font>
    <font>
      <sz val="9"/>
      <color theme="10"/>
      <name val="Calibri"/>
      <family val="2"/>
    </font>
    <font>
      <b/>
      <sz val="11"/>
      <color theme="1"/>
      <name val="Calibri"/>
      <family val="2"/>
    </font>
    <font>
      <b/>
      <sz val="9"/>
      <color rgb="FF44546A"/>
      <name val="Calibri"/>
      <family val="2"/>
    </font>
    <font>
      <b/>
      <sz val="11"/>
      <color rgb="FF44546A"/>
      <name val="Calibri"/>
      <family val="2"/>
    </font>
    <font>
      <b/>
      <sz val="11"/>
      <color rgb="FF002060"/>
      <name val="Calibri"/>
      <family val="2"/>
    </font>
    <font>
      <b/>
      <sz val="12"/>
      <color theme="0"/>
      <name val="Calibri"/>
      <family val="2"/>
    </font>
    <font>
      <sz val="11"/>
      <color rgb="FF44546A"/>
      <name val="Calibri"/>
      <family val="2"/>
    </font>
    <font>
      <u/>
      <sz val="11"/>
      <color theme="10"/>
      <name val="Calibri"/>
      <family val="2"/>
    </font>
    <font>
      <sz val="11"/>
      <color theme="10"/>
      <name val="Calibri"/>
      <family val="2"/>
    </font>
    <font>
      <sz val="12"/>
      <color rgb="FF44546A"/>
      <name val="Arial Narrow"/>
      <family val="2"/>
    </font>
    <font>
      <b/>
      <sz val="8"/>
      <color rgb="FF44546A"/>
      <name val="Arial"/>
      <family val="2"/>
    </font>
    <font>
      <sz val="9"/>
      <color rgb="FF333F4F"/>
      <name val="Calibri"/>
      <family val="2"/>
    </font>
    <font>
      <b/>
      <sz val="10"/>
      <color rgb="FF333F4F"/>
      <name val="Calibri"/>
      <family val="2"/>
    </font>
    <font>
      <b/>
      <sz val="11"/>
      <color rgb="FF333F4F"/>
      <name val="Calibri"/>
      <family val="2"/>
    </font>
    <font>
      <b/>
      <sz val="9"/>
      <color rgb="FF333F4F"/>
      <name val="Calibri"/>
      <family val="2"/>
    </font>
    <font>
      <sz val="10"/>
      <color rgb="FF333F4F"/>
      <name val="Calibri"/>
      <family val="2"/>
    </font>
    <font>
      <b/>
      <sz val="8"/>
      <color rgb="FF333F4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CFF66"/>
        <bgColor rgb="FFCCFF66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44546A"/>
        <bgColor rgb="FF44546A"/>
      </patternFill>
    </fill>
    <fill>
      <patternFill patternType="solid">
        <fgColor rgb="FFD9E2F3"/>
        <bgColor rgb="FFD9E2F3"/>
      </patternFill>
    </fill>
    <fill>
      <patternFill patternType="solid">
        <fgColor rgb="FFA8D08D"/>
        <bgColor rgb="FFA8D08D"/>
      </patternFill>
    </fill>
  </fills>
  <borders count="4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2" fillId="2" borderId="6" xfId="0" applyFont="1" applyFill="1" applyBorder="1"/>
    <xf numFmtId="0" fontId="6" fillId="2" borderId="9" xfId="0" applyFont="1" applyFill="1" applyBorder="1" applyAlignment="1">
      <alignment horizontal="center"/>
    </xf>
    <xf numFmtId="164" fontId="6" fillId="2" borderId="10" xfId="0" applyNumberFormat="1" applyFont="1" applyFill="1" applyBorder="1" applyAlignment="1">
      <alignment horizontal="center"/>
    </xf>
    <xf numFmtId="0" fontId="7" fillId="0" borderId="0" xfId="0" applyFont="1"/>
    <xf numFmtId="0" fontId="7" fillId="3" borderId="11" xfId="0" applyFont="1" applyFill="1" applyBorder="1"/>
    <xf numFmtId="0" fontId="8" fillId="3" borderId="12" xfId="0" applyFont="1" applyFill="1" applyBorder="1" applyAlignment="1">
      <alignment horizontal="left"/>
    </xf>
    <xf numFmtId="0" fontId="9" fillId="3" borderId="12" xfId="0" applyFont="1" applyFill="1" applyBorder="1"/>
    <xf numFmtId="0" fontId="9" fillId="3" borderId="13" xfId="0" applyFont="1" applyFill="1" applyBorder="1"/>
    <xf numFmtId="0" fontId="10" fillId="0" borderId="0" xfId="0" applyFont="1"/>
    <xf numFmtId="0" fontId="11" fillId="3" borderId="12" xfId="0" applyFont="1" applyFill="1" applyBorder="1" applyAlignment="1">
      <alignment horizontal="left"/>
    </xf>
    <xf numFmtId="0" fontId="12" fillId="0" borderId="14" xfId="0" applyFont="1" applyBorder="1"/>
    <xf numFmtId="0" fontId="13" fillId="3" borderId="12" xfId="0" applyFont="1" applyFill="1" applyBorder="1"/>
    <xf numFmtId="0" fontId="14" fillId="3" borderId="12" xfId="0" applyFont="1" applyFill="1" applyBorder="1"/>
    <xf numFmtId="0" fontId="13" fillId="3" borderId="13" xfId="0" applyFont="1" applyFill="1" applyBorder="1"/>
    <xf numFmtId="0" fontId="15" fillId="3" borderId="6" xfId="0" applyFont="1" applyFill="1" applyBorder="1" applyAlignment="1">
      <alignment horizontal="center"/>
    </xf>
    <xf numFmtId="0" fontId="12" fillId="0" borderId="15" xfId="0" applyFont="1" applyBorder="1"/>
    <xf numFmtId="0" fontId="16" fillId="0" borderId="15" xfId="0" applyFont="1" applyBorder="1"/>
    <xf numFmtId="0" fontId="17" fillId="3" borderId="9" xfId="0" applyFont="1" applyFill="1" applyBorder="1"/>
    <xf numFmtId="0" fontId="17" fillId="3" borderId="10" xfId="0" applyFont="1" applyFill="1" applyBorder="1"/>
    <xf numFmtId="0" fontId="6" fillId="2" borderId="6" xfId="0" applyFont="1" applyFill="1" applyBorder="1"/>
    <xf numFmtId="0" fontId="6" fillId="2" borderId="9" xfId="0" applyFont="1" applyFill="1" applyBorder="1"/>
    <xf numFmtId="0" fontId="6" fillId="2" borderId="9" xfId="0" applyFont="1" applyFill="1" applyBorder="1" applyAlignment="1">
      <alignment horizontal="right"/>
    </xf>
    <xf numFmtId="164" fontId="18" fillId="2" borderId="10" xfId="0" applyNumberFormat="1" applyFont="1" applyFill="1" applyBorder="1"/>
    <xf numFmtId="0" fontId="14" fillId="4" borderId="1" xfId="0" applyFont="1" applyFill="1" applyBorder="1"/>
    <xf numFmtId="164" fontId="19" fillId="4" borderId="4" xfId="0" applyNumberFormat="1" applyFont="1" applyFill="1" applyBorder="1"/>
    <xf numFmtId="164" fontId="19" fillId="4" borderId="5" xfId="0" applyNumberFormat="1" applyFont="1" applyFill="1" applyBorder="1"/>
    <xf numFmtId="0" fontId="14" fillId="4" borderId="11" xfId="0" applyFont="1" applyFill="1" applyBorder="1"/>
    <xf numFmtId="0" fontId="19" fillId="4" borderId="12" xfId="0" applyFont="1" applyFill="1" applyBorder="1" applyAlignment="1">
      <alignment vertical="center"/>
    </xf>
    <xf numFmtId="0" fontId="19" fillId="4" borderId="12" xfId="0" applyFont="1" applyFill="1" applyBorder="1" applyAlignment="1">
      <alignment vertical="center" wrapText="1"/>
    </xf>
    <xf numFmtId="0" fontId="19" fillId="4" borderId="13" xfId="0" applyFont="1" applyFill="1" applyBorder="1" applyAlignment="1">
      <alignment vertical="center" wrapText="1"/>
    </xf>
    <xf numFmtId="0" fontId="14" fillId="4" borderId="11" xfId="0" applyFont="1" applyFill="1" applyBorder="1" applyAlignment="1">
      <alignment horizontal="left"/>
    </xf>
    <xf numFmtId="0" fontId="14" fillId="4" borderId="12" xfId="0" applyFont="1" applyFill="1" applyBorder="1" applyAlignment="1">
      <alignment horizontal="left" vertical="center"/>
    </xf>
    <xf numFmtId="0" fontId="14" fillId="4" borderId="12" xfId="0" applyFont="1" applyFill="1" applyBorder="1" applyAlignment="1">
      <alignment horizontal="left" vertical="center" wrapText="1"/>
    </xf>
    <xf numFmtId="0" fontId="19" fillId="4" borderId="11" xfId="0" applyFont="1" applyFill="1" applyBorder="1"/>
    <xf numFmtId="0" fontId="21" fillId="5" borderId="6" xfId="0" applyFont="1" applyFill="1" applyBorder="1"/>
    <xf numFmtId="0" fontId="21" fillId="5" borderId="9" xfId="0" applyFont="1" applyFill="1" applyBorder="1"/>
    <xf numFmtId="0" fontId="21" fillId="5" borderId="9" xfId="0" applyFont="1" applyFill="1" applyBorder="1" applyAlignment="1">
      <alignment horizontal="right"/>
    </xf>
    <xf numFmtId="0" fontId="21" fillId="5" borderId="9" xfId="0" applyFont="1" applyFill="1" applyBorder="1" applyAlignment="1">
      <alignment horizontal="left"/>
    </xf>
    <xf numFmtId="0" fontId="21" fillId="5" borderId="10" xfId="0" applyFont="1" applyFill="1" applyBorder="1"/>
    <xf numFmtId="0" fontId="14" fillId="6" borderId="11" xfId="0" applyFont="1" applyFill="1" applyBorder="1"/>
    <xf numFmtId="0" fontId="19" fillId="6" borderId="12" xfId="0" applyFont="1" applyFill="1" applyBorder="1" applyAlignment="1">
      <alignment horizontal="left"/>
    </xf>
    <xf numFmtId="0" fontId="22" fillId="6" borderId="12" xfId="0" applyFont="1" applyFill="1" applyBorder="1"/>
    <xf numFmtId="0" fontId="22" fillId="6" borderId="13" xfId="0" applyFont="1" applyFill="1" applyBorder="1"/>
    <xf numFmtId="0" fontId="23" fillId="6" borderId="12" xfId="0" applyFont="1" applyFill="1" applyBorder="1"/>
    <xf numFmtId="0" fontId="25" fillId="6" borderId="9" xfId="0" applyFont="1" applyFill="1" applyBorder="1"/>
    <xf numFmtId="0" fontId="25" fillId="6" borderId="10" xfId="0" applyFont="1" applyFill="1" applyBorder="1"/>
    <xf numFmtId="0" fontId="26" fillId="2" borderId="22" xfId="0" applyFont="1" applyFill="1" applyBorder="1" applyAlignment="1">
      <alignment horizontal="center" vertical="center"/>
    </xf>
    <xf numFmtId="49" fontId="14" fillId="0" borderId="23" xfId="0" applyNumberFormat="1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4" fillId="0" borderId="25" xfId="0" applyFont="1" applyBorder="1" applyAlignment="1">
      <alignment horizontal="left" vertical="center" wrapText="1"/>
    </xf>
    <xf numFmtId="165" fontId="19" fillId="3" borderId="23" xfId="0" applyNumberFormat="1" applyFont="1" applyFill="1" applyBorder="1" applyAlignment="1">
      <alignment vertical="center" wrapText="1"/>
    </xf>
    <xf numFmtId="49" fontId="14" fillId="0" borderId="23" xfId="0" applyNumberFormat="1" applyFont="1" applyBorder="1" applyAlignment="1">
      <alignment horizontal="center" vertical="center" wrapText="1"/>
    </xf>
    <xf numFmtId="42" fontId="19" fillId="0" borderId="26" xfId="0" applyNumberFormat="1" applyFont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42" fontId="19" fillId="0" borderId="23" xfId="0" applyNumberFormat="1" applyFont="1" applyBorder="1" applyAlignment="1">
      <alignment vertical="center"/>
    </xf>
    <xf numFmtId="0" fontId="12" fillId="0" borderId="0" xfId="0" applyFont="1" applyAlignment="1">
      <alignment wrapText="1"/>
    </xf>
    <xf numFmtId="0" fontId="14" fillId="0" borderId="23" xfId="0" applyFont="1" applyBorder="1" applyAlignment="1">
      <alignment horizontal="left" vertical="center" wrapText="1"/>
    </xf>
    <xf numFmtId="0" fontId="28" fillId="2" borderId="23" xfId="0" applyFont="1" applyFill="1" applyBorder="1" applyAlignment="1">
      <alignment horizontal="left" vertical="center"/>
    </xf>
    <xf numFmtId="42" fontId="29" fillId="2" borderId="33" xfId="0" applyNumberFormat="1" applyFont="1" applyFill="1" applyBorder="1"/>
    <xf numFmtId="0" fontId="27" fillId="2" borderId="22" xfId="0" applyFont="1" applyFill="1" applyBorder="1" applyAlignment="1">
      <alignment horizontal="center"/>
    </xf>
    <xf numFmtId="0" fontId="28" fillId="2" borderId="34" xfId="0" applyFont="1" applyFill="1" applyBorder="1" applyAlignment="1">
      <alignment horizontal="left" vertical="center"/>
    </xf>
    <xf numFmtId="42" fontId="29" fillId="2" borderId="34" xfId="0" applyNumberFormat="1" applyFont="1" applyFill="1" applyBorder="1"/>
    <xf numFmtId="0" fontId="30" fillId="2" borderId="33" xfId="0" applyFont="1" applyFill="1" applyBorder="1" applyAlignment="1">
      <alignment horizontal="center"/>
    </xf>
    <xf numFmtId="0" fontId="29" fillId="2" borderId="33" xfId="0" applyFont="1" applyFill="1" applyBorder="1" applyAlignment="1">
      <alignment horizontal="left" vertical="center"/>
    </xf>
    <xf numFmtId="0" fontId="31" fillId="2" borderId="22" xfId="0" applyFont="1" applyFill="1" applyBorder="1" applyAlignment="1">
      <alignment horizontal="center"/>
    </xf>
    <xf numFmtId="42" fontId="29" fillId="2" borderId="23" xfId="0" applyNumberFormat="1" applyFont="1" applyFill="1" applyBorder="1"/>
    <xf numFmtId="0" fontId="28" fillId="2" borderId="35" xfId="0" applyFont="1" applyFill="1" applyBorder="1" applyAlignment="1">
      <alignment horizontal="center"/>
    </xf>
    <xf numFmtId="0" fontId="31" fillId="2" borderId="33" xfId="0" applyFont="1" applyFill="1" applyBorder="1" applyAlignment="1">
      <alignment horizontal="center"/>
    </xf>
    <xf numFmtId="0" fontId="7" fillId="3" borderId="14" xfId="0" applyFont="1" applyFill="1" applyBorder="1"/>
    <xf numFmtId="0" fontId="11" fillId="3" borderId="20" xfId="0" applyFont="1" applyFill="1" applyBorder="1" applyAlignment="1">
      <alignment horizontal="left"/>
    </xf>
    <xf numFmtId="0" fontId="9" fillId="3" borderId="20" xfId="0" applyFont="1" applyFill="1" applyBorder="1"/>
    <xf numFmtId="0" fontId="9" fillId="3" borderId="31" xfId="0" applyFont="1" applyFill="1" applyBorder="1"/>
    <xf numFmtId="0" fontId="32" fillId="0" borderId="15" xfId="0" applyFont="1" applyBorder="1" applyAlignment="1">
      <alignment horizontal="center"/>
    </xf>
    <xf numFmtId="0" fontId="4" fillId="0" borderId="36" xfId="0" applyFont="1" applyBorder="1"/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7" xfId="0" applyFont="1" applyBorder="1"/>
    <xf numFmtId="0" fontId="4" fillId="0" borderId="8" xfId="0" applyFont="1" applyBorder="1"/>
    <xf numFmtId="0" fontId="20" fillId="4" borderId="16" xfId="0" applyFont="1" applyFill="1" applyBorder="1" applyAlignment="1">
      <alignment horizontal="left" vertical="top" wrapText="1"/>
    </xf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0" fontId="21" fillId="5" borderId="27" xfId="0" applyFont="1" applyFill="1" applyBorder="1" applyAlignment="1">
      <alignment horizontal="left"/>
    </xf>
    <xf numFmtId="0" fontId="4" fillId="0" borderId="28" xfId="0" applyFont="1" applyBorder="1"/>
    <xf numFmtId="0" fontId="4" fillId="0" borderId="29" xfId="0" applyFont="1" applyBorder="1"/>
    <xf numFmtId="0" fontId="13" fillId="0" borderId="30" xfId="0" applyFont="1" applyBorder="1" applyAlignment="1">
      <alignment horizontal="center" vertical="top"/>
    </xf>
    <xf numFmtId="0" fontId="0" fillId="0" borderId="0" xfId="0"/>
    <xf numFmtId="0" fontId="4" fillId="0" borderId="31" xfId="0" applyFont="1" applyBorder="1"/>
    <xf numFmtId="0" fontId="26" fillId="2" borderId="27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4" fillId="6" borderId="20" xfId="0" applyFont="1" applyFill="1" applyBorder="1"/>
    <xf numFmtId="0" fontId="26" fillId="2" borderId="37" xfId="0" applyFont="1" applyFill="1" applyBorder="1" applyAlignment="1">
      <alignment horizontal="center" vertical="center"/>
    </xf>
    <xf numFmtId="0" fontId="27" fillId="7" borderId="33" xfId="0" applyFont="1" applyFill="1" applyBorder="1" applyAlignment="1">
      <alignment horizontal="center"/>
    </xf>
    <xf numFmtId="0" fontId="28" fillId="0" borderId="20" xfId="0" applyFont="1" applyBorder="1" applyAlignment="1">
      <alignment horizontal="center"/>
    </xf>
    <xf numFmtId="0" fontId="19" fillId="0" borderId="20" xfId="0" applyFont="1" applyBorder="1" applyAlignment="1">
      <alignment vertical="center"/>
    </xf>
    <xf numFmtId="0" fontId="28" fillId="2" borderId="33" xfId="0" applyFont="1" applyFill="1" applyBorder="1" applyAlignment="1">
      <alignment horizontal="left" vertical="center"/>
    </xf>
    <xf numFmtId="0" fontId="19" fillId="0" borderId="38" xfId="0" applyFont="1" applyBorder="1" applyAlignment="1">
      <alignment vertical="center"/>
    </xf>
    <xf numFmtId="0" fontId="19" fillId="0" borderId="39" xfId="0" applyFont="1" applyBorder="1" applyAlignment="1">
      <alignment vertical="center"/>
    </xf>
    <xf numFmtId="0" fontId="12" fillId="0" borderId="40" xfId="0" applyFont="1" applyBorder="1"/>
    <xf numFmtId="0" fontId="19" fillId="0" borderId="41" xfId="0" applyFont="1" applyBorder="1" applyAlignment="1">
      <alignment vertical="center"/>
    </xf>
    <xf numFmtId="0" fontId="12" fillId="0" borderId="42" xfId="0" applyFont="1" applyBorder="1"/>
    <xf numFmtId="0" fontId="19" fillId="0" borderId="43" xfId="0" applyFont="1" applyBorder="1" applyAlignment="1">
      <alignment vertical="center"/>
    </xf>
    <xf numFmtId="0" fontId="12" fillId="0" borderId="44" xfId="0" applyFont="1" applyBorder="1" applyAlignment="1">
      <alignment vertical="center"/>
    </xf>
    <xf numFmtId="0" fontId="12" fillId="0" borderId="4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552450</xdr:colOff>
      <xdr:row>52</xdr:row>
      <xdr:rowOff>0</xdr:rowOff>
    </xdr:from>
    <xdr:ext cx="200025" cy="285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250750" y="3641888"/>
          <a:ext cx="1905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438150</xdr:colOff>
      <xdr:row>2</xdr:row>
      <xdr:rowOff>139065</xdr:rowOff>
    </xdr:from>
    <xdr:ext cx="1343025" cy="857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8210" y="870585"/>
          <a:ext cx="1343025" cy="85725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rest911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workbookViewId="0">
      <selection activeCell="I11" sqref="I11"/>
    </sheetView>
  </sheetViews>
  <sheetFormatPr baseColWidth="10" defaultColWidth="14.44140625" defaultRowHeight="15" customHeight="1" x14ac:dyDescent="0.3"/>
  <cols>
    <col min="1" max="1" width="7" customWidth="1"/>
    <col min="2" max="2" width="31.44140625" customWidth="1"/>
    <col min="3" max="3" width="11.44140625" customWidth="1"/>
    <col min="4" max="4" width="62.33203125" customWidth="1"/>
    <col min="5" max="5" width="19" customWidth="1"/>
    <col min="6" max="6" width="17.44140625" customWidth="1"/>
    <col min="7" max="26" width="10.6640625" customWidth="1"/>
  </cols>
  <sheetData>
    <row r="1" spans="1:26" ht="39.75" customHeight="1" x14ac:dyDescent="0.6">
      <c r="A1" s="1" t="str">
        <f ca="1">IFERROR(__xludf.DUMMYFUNCTION("IMPORTRANGE(""1YugjdhYY9V-gAm-qdO20eTng2gdvKGWt5Udwquyg68o"", ""ORDEN_DE_COMPRA!A1:Z100"")"),"")</f>
        <v/>
      </c>
      <c r="B1" s="2"/>
      <c r="C1" s="79" t="str">
        <f ca="1">IFERROR(__xludf.DUMMYFUNCTION("""COMPUTED_VALUE"""),"ORDEN DE COMPRA")</f>
        <v>ORDEN DE COMPRA</v>
      </c>
      <c r="D1" s="80"/>
      <c r="E1" s="3" t="str">
        <f ca="1">IFERROR(__xludf.DUMMYFUNCTION("""COMPUTED_VALUE"""),"N°")</f>
        <v>N°</v>
      </c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5">
      <c r="A2" s="1"/>
      <c r="B2" s="5"/>
      <c r="C2" s="81"/>
      <c r="D2" s="82"/>
      <c r="E2" s="6" t="str">
        <f ca="1">IFERROR(__xludf.DUMMYFUNCTION("""COMPUTED_VALUE"""),"Fecha de Emisión")</f>
        <v>Fecha de Emisión</v>
      </c>
      <c r="F2" s="7">
        <f ca="1">IFERROR(__xludf.DUMMYFUNCTION("""COMPUTED_VALUE"""),45757)</f>
        <v>45757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" customHeight="1" x14ac:dyDescent="0.5">
      <c r="A3" s="8"/>
      <c r="B3" s="9"/>
      <c r="C3" s="8"/>
      <c r="D3" s="10"/>
      <c r="E3" s="11"/>
      <c r="F3" s="12"/>
      <c r="G3" s="8"/>
      <c r="H3" s="8"/>
      <c r="I3" s="13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8" customHeight="1" x14ac:dyDescent="0.35">
      <c r="A4" s="8"/>
      <c r="B4" s="9"/>
      <c r="C4" s="8"/>
      <c r="D4" s="14"/>
      <c r="E4" s="11"/>
      <c r="F4" s="12"/>
      <c r="G4" s="8"/>
      <c r="H4" s="8"/>
      <c r="I4" s="13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8" customHeight="1" x14ac:dyDescent="0.35">
      <c r="A5" s="8"/>
      <c r="B5" s="73"/>
      <c r="C5" s="8"/>
      <c r="D5" s="74"/>
      <c r="E5" s="75"/>
      <c r="F5" s="76"/>
      <c r="G5" s="8"/>
      <c r="H5" s="8"/>
      <c r="I5" s="13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" customHeight="1" x14ac:dyDescent="0.3">
      <c r="A6" s="1"/>
      <c r="B6" s="15"/>
      <c r="C6" s="16"/>
      <c r="D6" s="17"/>
      <c r="E6" s="16"/>
      <c r="F6" s="18"/>
      <c r="G6" s="1"/>
      <c r="H6" s="1"/>
      <c r="I6" s="1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3.4" x14ac:dyDescent="0.7">
      <c r="A7" s="1"/>
      <c r="B7" s="19" t="str">
        <f ca="1">IFERROR(__xludf.DUMMYFUNCTION("""COMPUTED_VALUE"""),"www.rest911.cl")</f>
        <v>www.rest911.cl</v>
      </c>
      <c r="C7" s="20"/>
      <c r="D7" s="21"/>
      <c r="E7" s="22"/>
      <c r="F7" s="23"/>
      <c r="G7" s="1"/>
      <c r="H7" s="1"/>
      <c r="I7" s="13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1"/>
      <c r="B8" s="24" t="str">
        <f ca="1">IFERROR(__xludf.DUMMYFUNCTION("""COMPUTED_VALUE"""),"INFORMACION DEL PROVEEDOR")</f>
        <v>INFORMACION DEL PROVEEDOR</v>
      </c>
      <c r="C8" s="25"/>
      <c r="D8" s="26" t="str">
        <f ca="1">IFERROR(__xludf.DUMMYFUNCTION("""COMPUTED_VALUE"""),"COTIZACION N°")</f>
        <v>COTIZACION N°</v>
      </c>
      <c r="E8" s="6"/>
      <c r="F8" s="27"/>
      <c r="G8" s="1"/>
      <c r="H8" s="1"/>
      <c r="I8" s="1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1"/>
      <c r="B9" s="28" t="str">
        <f ca="1">IFERROR(__xludf.DUMMYFUNCTION("""COMPUTED_VALUE"""),"RAZON SOCIAL")</f>
        <v>RAZON SOCIAL</v>
      </c>
      <c r="C9" s="29"/>
      <c r="D9" s="29"/>
      <c r="E9" s="29"/>
      <c r="F9" s="30"/>
      <c r="G9" s="1"/>
      <c r="H9" s="1"/>
      <c r="I9" s="1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31" t="str">
        <f ca="1">IFERROR(__xludf.DUMMYFUNCTION("""COMPUTED_VALUE"""),"RUT")</f>
        <v>RUT</v>
      </c>
      <c r="C10" s="32"/>
      <c r="D10" s="33"/>
      <c r="E10" s="33"/>
      <c r="F10" s="34"/>
      <c r="G10" s="1"/>
      <c r="H10" s="1"/>
      <c r="I10" s="1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1"/>
      <c r="B11" s="31" t="str">
        <f ca="1">IFERROR(__xludf.DUMMYFUNCTION("""COMPUTED_VALUE"""),"GIRO")</f>
        <v>GIRO</v>
      </c>
      <c r="C11" s="32"/>
      <c r="D11" s="32"/>
      <c r="E11" s="33"/>
      <c r="F11" s="34"/>
      <c r="G11" s="1"/>
      <c r="H11" s="1"/>
      <c r="I11" s="1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1"/>
      <c r="B12" s="31" t="str">
        <f ca="1">IFERROR(__xludf.DUMMYFUNCTION("""COMPUTED_VALUE"""),"DIRECCIÓN")</f>
        <v>DIRECCIÓN</v>
      </c>
      <c r="C12" s="32"/>
      <c r="D12" s="32"/>
      <c r="E12" s="33"/>
      <c r="F12" s="34"/>
      <c r="G12" s="1"/>
      <c r="H12" s="1"/>
      <c r="I12" s="1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">
      <c r="A13" s="1"/>
      <c r="B13" s="35" t="str">
        <f ca="1">IFERROR(__xludf.DUMMYFUNCTION("""COMPUTED_VALUE"""),"COMUNA")</f>
        <v>COMUNA</v>
      </c>
      <c r="C13" s="32"/>
      <c r="D13" s="33"/>
      <c r="E13" s="33"/>
      <c r="F13" s="34"/>
      <c r="G13" s="1"/>
      <c r="H13" s="1"/>
      <c r="I13" s="1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1"/>
      <c r="B14" s="35" t="str">
        <f ca="1">IFERROR(__xludf.DUMMYFUNCTION("""COMPUTED_VALUE"""),"CIUDAD")</f>
        <v>CIUDAD</v>
      </c>
      <c r="C14" s="32"/>
      <c r="D14" s="33"/>
      <c r="E14" s="33"/>
      <c r="F14" s="34"/>
      <c r="G14" s="1"/>
      <c r="H14" s="1"/>
      <c r="I14" s="1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1"/>
      <c r="B15" s="31" t="str">
        <f ca="1">IFERROR(__xludf.DUMMYFUNCTION("""COMPUTED_VALUE"""),"TELÉFONO")</f>
        <v>TELÉFONO</v>
      </c>
      <c r="C15" s="36"/>
      <c r="D15" s="37"/>
      <c r="E15" s="33"/>
      <c r="F15" s="34"/>
      <c r="G15" s="1"/>
      <c r="H15" s="1"/>
      <c r="I15" s="1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">
      <c r="A16" s="1"/>
      <c r="B16" s="31" t="str">
        <f ca="1">IFERROR(__xludf.DUMMYFUNCTION("""COMPUTED_VALUE"""),"PERSONA DE CONTACTO")</f>
        <v>PERSONA DE CONTACTO</v>
      </c>
      <c r="C16" s="32"/>
      <c r="D16" s="33"/>
      <c r="E16" s="33"/>
      <c r="F16" s="34"/>
      <c r="G16" s="1"/>
      <c r="H16" s="1"/>
      <c r="I16" s="1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3">
      <c r="A17" s="1"/>
      <c r="B17" s="31" t="str">
        <f ca="1">IFERROR(__xludf.DUMMYFUNCTION("""COMPUTED_VALUE"""),"CONDICION DE PAGO")</f>
        <v>CONDICION DE PAGO</v>
      </c>
      <c r="C17" s="83" t="s">
        <v>0</v>
      </c>
      <c r="D17" s="84"/>
      <c r="E17" s="84"/>
      <c r="F17" s="85"/>
      <c r="G17" s="1"/>
      <c r="H17" s="1"/>
      <c r="I17" s="1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1"/>
      <c r="B18" s="38"/>
      <c r="C18" s="86"/>
      <c r="D18" s="87"/>
      <c r="E18" s="87"/>
      <c r="F18" s="88"/>
      <c r="G18" s="1"/>
      <c r="H18" s="1"/>
      <c r="I18" s="1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1"/>
      <c r="B19" s="39" t="str">
        <f ca="1">IFERROR(__xludf.DUMMYFUNCTION("""COMPUTED_VALUE"""),"INFORMACION DE ENTREGA")</f>
        <v>INFORMACION DE ENTREGA</v>
      </c>
      <c r="C19" s="40"/>
      <c r="D19" s="41"/>
      <c r="E19" s="42"/>
      <c r="F19" s="43"/>
      <c r="G19" s="1"/>
      <c r="H19" s="1"/>
      <c r="I19" s="1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1"/>
      <c r="B20" s="44" t="str">
        <f ca="1">IFERROR(__xludf.DUMMYFUNCTION("""COMPUTED_VALUE"""),"DIRECCION")</f>
        <v>DIRECCION</v>
      </c>
      <c r="C20" s="45"/>
      <c r="D20" s="45"/>
      <c r="E20" s="46"/>
      <c r="F20" s="47"/>
      <c r="G20" s="1"/>
      <c r="H20" s="1"/>
      <c r="I20" s="1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1"/>
      <c r="B21" s="44" t="str">
        <f ca="1">IFERROR(__xludf.DUMMYFUNCTION("""COMPUTED_VALUE"""),"PERSONA DE CONTACTO")</f>
        <v>PERSONA DE CONTACTO</v>
      </c>
      <c r="C21" s="45"/>
      <c r="D21" s="45"/>
      <c r="E21" s="46"/>
      <c r="F21" s="47"/>
      <c r="G21" s="1"/>
      <c r="H21" s="1"/>
      <c r="I21" s="1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1"/>
      <c r="B22" s="44" t="str">
        <f ca="1">IFERROR(__xludf.DUMMYFUNCTION("""COMPUTED_VALUE"""),"TELÉFONOS")</f>
        <v>TELÉFONOS</v>
      </c>
      <c r="C22" s="45"/>
      <c r="D22" s="45"/>
      <c r="E22" s="46"/>
      <c r="F22" s="47"/>
      <c r="G22" s="1"/>
      <c r="H22" s="1"/>
      <c r="I22" s="1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1"/>
      <c r="B23" s="44" t="str">
        <f ca="1">IFERROR(__xludf.DUMMYFUNCTION("""COMPUTED_VALUE"""),"CORREO ELECTRÓNICO")</f>
        <v>CORREO ELECTRÓNICO</v>
      </c>
      <c r="C23" s="48"/>
      <c r="D23" s="97"/>
      <c r="E23" s="49"/>
      <c r="F23" s="50"/>
      <c r="G23" s="1"/>
      <c r="H23" s="1"/>
      <c r="I23" s="1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1"/>
      <c r="B24" s="51" t="str">
        <f ca="1">IFERROR(__xludf.DUMMYFUNCTION("""COMPUTED_VALUE"""),"CÓDIGO PRODUCTO")</f>
        <v>CÓDIGO PRODUCTO</v>
      </c>
      <c r="C24" s="95" t="str">
        <f ca="1">IFERROR(__xludf.DUMMYFUNCTION("""COMPUTED_VALUE"""),"CANTIDAD")</f>
        <v>CANTIDAD</v>
      </c>
      <c r="D24" s="98" t="str">
        <f ca="1">IFERROR(__xludf.DUMMYFUNCTION("""COMPUTED_VALUE"""),"DESCRIPCIÓN")</f>
        <v>DESCRIPCIÓN</v>
      </c>
      <c r="E24" s="96" t="str">
        <f ca="1">IFERROR(__xludf.DUMMYFUNCTION("""COMPUTED_VALUE"""),"PRECIO UNITARIO")</f>
        <v>PRECIO UNITARIO</v>
      </c>
      <c r="F24" s="51" t="str">
        <f ca="1">IFERROR(__xludf.DUMMYFUNCTION("""COMPUTED_VALUE"""),"TOTAL")</f>
        <v>TOTAL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52"/>
      <c r="C25" s="53"/>
      <c r="D25" s="54"/>
      <c r="E25" s="55"/>
      <c r="F25" s="55">
        <f ca="1">IFERROR(__xludf.DUMMYFUNCTION("""COMPUTED_VALUE"""),0)</f>
        <v>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56"/>
      <c r="C26" s="53"/>
      <c r="D26" s="54"/>
      <c r="E26" s="57"/>
      <c r="F26" s="55">
        <f ca="1">IFERROR(__xludf.DUMMYFUNCTION("""COMPUTED_VALUE"""),0)</f>
        <v>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56"/>
      <c r="C27" s="53"/>
      <c r="D27" s="54"/>
      <c r="E27" s="57"/>
      <c r="F27" s="55">
        <f ca="1">IFERROR(__xludf.DUMMYFUNCTION("""COMPUTED_VALUE"""),0)</f>
        <v>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56"/>
      <c r="C28" s="53"/>
      <c r="D28" s="54"/>
      <c r="E28" s="57"/>
      <c r="F28" s="55">
        <f ca="1">IFERROR(__xludf.DUMMYFUNCTION("""COMPUTED_VALUE"""),0)</f>
        <v>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56"/>
      <c r="C29" s="53"/>
      <c r="D29" s="54"/>
      <c r="E29" s="57"/>
      <c r="F29" s="55">
        <f ca="1">IFERROR(__xludf.DUMMYFUNCTION("""COMPUTED_VALUE"""),0)</f>
        <v>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56"/>
      <c r="C30" s="58"/>
      <c r="D30" s="54"/>
      <c r="E30" s="59"/>
      <c r="F30" s="55">
        <f ca="1">IFERROR(__xludf.DUMMYFUNCTION("""COMPUTED_VALUE"""),0)</f>
        <v>0</v>
      </c>
      <c r="G30" s="60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56"/>
      <c r="C31" s="58"/>
      <c r="D31" s="61"/>
      <c r="E31" s="59"/>
      <c r="F31" s="55">
        <f ca="1">IFERROR(__xludf.DUMMYFUNCTION("""COMPUTED_VALUE"""),0)</f>
        <v>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56"/>
      <c r="C32" s="58"/>
      <c r="D32" s="61"/>
      <c r="E32" s="59"/>
      <c r="F32" s="55">
        <f ca="1">IFERROR(__xludf.DUMMYFUNCTION("""COMPUTED_VALUE"""),0)</f>
        <v>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56"/>
      <c r="C33" s="58"/>
      <c r="D33" s="61"/>
      <c r="E33" s="59"/>
      <c r="F33" s="55">
        <f ca="1">IFERROR(__xludf.DUMMYFUNCTION("""COMPUTED_VALUE"""),0)</f>
        <v>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56"/>
      <c r="C34" s="58"/>
      <c r="D34" s="61"/>
      <c r="E34" s="59"/>
      <c r="F34" s="55">
        <f ca="1">IFERROR(__xludf.DUMMYFUNCTION("""COMPUTED_VALUE"""),0)</f>
        <v>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56"/>
      <c r="C35" s="58"/>
      <c r="D35" s="61"/>
      <c r="E35" s="59"/>
      <c r="F35" s="55">
        <f ca="1">IFERROR(__xludf.DUMMYFUNCTION("""COMPUTED_VALUE"""),0)</f>
        <v>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56"/>
      <c r="C36" s="58"/>
      <c r="D36" s="61"/>
      <c r="E36" s="59"/>
      <c r="F36" s="55">
        <f ca="1">IFERROR(__xludf.DUMMYFUNCTION("""COMPUTED_VALUE"""),0)</f>
        <v>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56"/>
      <c r="C37" s="58"/>
      <c r="D37" s="61"/>
      <c r="E37" s="59"/>
      <c r="F37" s="55">
        <f ca="1">IFERROR(__xludf.DUMMYFUNCTION("""COMPUTED_VALUE"""),0)</f>
        <v>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56"/>
      <c r="C38" s="58"/>
      <c r="D38" s="61"/>
      <c r="E38" s="59"/>
      <c r="F38" s="55">
        <f ca="1">IFERROR(__xludf.DUMMYFUNCTION("""COMPUTED_VALUE"""),0)</f>
        <v>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1"/>
      <c r="B39" s="56"/>
      <c r="C39" s="58"/>
      <c r="D39" s="61"/>
      <c r="E39" s="59"/>
      <c r="F39" s="55">
        <f ca="1">IFERROR(__xludf.DUMMYFUNCTION("""COMPUTED_VALUE"""),0)</f>
        <v>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1"/>
      <c r="B40" s="56"/>
      <c r="C40" s="58"/>
      <c r="D40" s="61"/>
      <c r="E40" s="59"/>
      <c r="F40" s="55">
        <f ca="1">IFERROR(__xludf.DUMMYFUNCTION("""COMPUTED_VALUE"""),0)</f>
        <v>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"/>
      <c r="B41" s="56"/>
      <c r="C41" s="58"/>
      <c r="D41" s="61"/>
      <c r="E41" s="59"/>
      <c r="F41" s="59">
        <f ca="1">IFERROR(__xludf.DUMMYFUNCTION("""COMPUTED_VALUE"""),0)</f>
        <v>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56"/>
      <c r="C42" s="58"/>
      <c r="D42" s="61"/>
      <c r="E42" s="59"/>
      <c r="F42" s="55">
        <f ca="1">IFERROR(__xludf.DUMMYFUNCTION("""COMPUTED_VALUE"""),0)</f>
        <v>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56"/>
      <c r="C43" s="58"/>
      <c r="D43" s="61"/>
      <c r="E43" s="59"/>
      <c r="F43" s="55">
        <f ca="1">IFERROR(__xludf.DUMMYFUNCTION("""COMPUTED_VALUE"""),0)</f>
        <v>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56"/>
      <c r="C44" s="58"/>
      <c r="D44" s="61"/>
      <c r="E44" s="59"/>
      <c r="F44" s="55">
        <f ca="1">IFERROR(__xludf.DUMMYFUNCTION("""COMPUTED_VALUE"""),0)</f>
        <v>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56"/>
      <c r="C45" s="58"/>
      <c r="D45" s="61"/>
      <c r="E45" s="59"/>
      <c r="F45" s="55">
        <f ca="1">IFERROR(__xludf.DUMMYFUNCTION("""COMPUTED_VALUE"""),0)</f>
        <v>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56"/>
      <c r="C46" s="58"/>
      <c r="D46" s="61"/>
      <c r="E46" s="59"/>
      <c r="F46" s="55">
        <f ca="1">IFERROR(__xludf.DUMMYFUNCTION("""COMPUTED_VALUE"""),0)</f>
        <v>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56"/>
      <c r="C47" s="58"/>
      <c r="D47" s="61"/>
      <c r="E47" s="59"/>
      <c r="F47" s="55">
        <f ca="1">IFERROR(__xludf.DUMMYFUNCTION("""COMPUTED_VALUE"""),0)</f>
        <v>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89" t="str">
        <f ca="1">IFERROR(__xludf.DUMMYFUNCTION("""COMPUTED_VALUE"""),"INFORMACION ADICIONAL DE ENTREGA:")</f>
        <v>INFORMACION ADICIONAL DE ENTREGA:</v>
      </c>
      <c r="C48" s="90"/>
      <c r="D48" s="90"/>
      <c r="E48" s="91"/>
      <c r="F48" s="9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03"/>
      <c r="C49" s="104"/>
      <c r="D49" s="104"/>
      <c r="E49" s="105"/>
      <c r="F49" s="9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06"/>
      <c r="C50" s="101"/>
      <c r="D50" s="101"/>
      <c r="E50" s="107"/>
      <c r="F50" s="94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 x14ac:dyDescent="0.3">
      <c r="A51" s="1"/>
      <c r="B51" s="108"/>
      <c r="C51" s="109"/>
      <c r="D51" s="109"/>
      <c r="E51" s="110"/>
      <c r="F51" s="7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99"/>
      <c r="C52" s="100"/>
      <c r="D52" s="94"/>
      <c r="E52" s="102" t="str">
        <f ca="1">IFERROR(__xludf.DUMMYFUNCTION("""COMPUTED_VALUE"""),"(+) MONTO NETO")</f>
        <v>(+) MONTO NETO</v>
      </c>
      <c r="F52" s="6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64" t="str">
        <f ca="1">IFERROR(__xludf.DUMMYFUNCTION("""COMPUTED_VALUE"""),"Solicitado por")</f>
        <v>Solicitado por</v>
      </c>
      <c r="C53" s="93"/>
      <c r="D53" s="94"/>
      <c r="E53" s="65" t="str">
        <f ca="1">IFERROR(__xludf.DUMMYFUNCTION("""COMPUTED_VALUE"""),"(-) DESCUENTOS")</f>
        <v>(-) DESCUENTOS</v>
      </c>
      <c r="F53" s="66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67"/>
      <c r="C54" s="93"/>
      <c r="D54" s="94"/>
      <c r="E54" s="68" t="str">
        <f ca="1">IFERROR(__xludf.DUMMYFUNCTION("""COMPUTED_VALUE"""),"(=) SUB TOTAL NETO")</f>
        <v>(=) SUB TOTAL NETO</v>
      </c>
      <c r="F54" s="6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69" t="str">
        <f ca="1">IFERROR(__xludf.DUMMYFUNCTION("""COMPUTED_VALUE"""),"Autorizado por")</f>
        <v>Autorizado por</v>
      </c>
      <c r="C55" s="93"/>
      <c r="D55" s="94"/>
      <c r="E55" s="62" t="str">
        <f ca="1">IFERROR(__xludf.DUMMYFUNCTION("""COMPUTED_VALUE"""),"(+) I.V.A. 19%")</f>
        <v>(+) I.V.A. 19%</v>
      </c>
      <c r="F55" s="70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71"/>
      <c r="C56" s="93"/>
      <c r="D56" s="94"/>
      <c r="E56" s="65" t="str">
        <f ca="1">IFERROR(__xludf.DUMMYFUNCTION("""COMPUTED_VALUE"""),"(+) DESPACHO")</f>
        <v>(+) DESPACHO</v>
      </c>
      <c r="F56" s="66">
        <f ca="1">IFERROR(__xludf.DUMMYFUNCTION("""COMPUTED_VALUE"""),0)</f>
        <v>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72" t="str">
        <f ca="1">IFERROR(__xludf.DUMMYFUNCTION("""COMPUTED_VALUE"""),"Gerente General")</f>
        <v>Gerente General</v>
      </c>
      <c r="C57" s="77" t="str">
        <f ca="1">IFERROR(__xludf.DUMMYFUNCTION("""COMPUTED_VALUE"""),"FIRMA GERENTE GENERAL")</f>
        <v>FIRMA GERENTE GENERAL</v>
      </c>
      <c r="D57" s="78"/>
      <c r="E57" s="68" t="str">
        <f ca="1">IFERROR(__xludf.DUMMYFUNCTION("""COMPUTED_VALUE"""),"(=) TOTAL A PAGAR")</f>
        <v>(=) TOTAL A PAGAR</v>
      </c>
      <c r="F57" s="6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/>
    <row r="102" spans="1:26" ht="14.25" customHeight="1" x14ac:dyDescent="0.3"/>
    <row r="103" spans="1:26" ht="14.25" customHeight="1" x14ac:dyDescent="0.3"/>
    <row r="104" spans="1:26" ht="14.25" customHeight="1" x14ac:dyDescent="0.3"/>
    <row r="105" spans="1:26" ht="14.25" customHeight="1" x14ac:dyDescent="0.3"/>
    <row r="106" spans="1:26" ht="14.25" customHeight="1" x14ac:dyDescent="0.3"/>
    <row r="107" spans="1:26" ht="14.25" customHeight="1" x14ac:dyDescent="0.3"/>
    <row r="108" spans="1:26" ht="14.25" customHeight="1" x14ac:dyDescent="0.3"/>
    <row r="109" spans="1:26" ht="14.25" customHeight="1" x14ac:dyDescent="0.3"/>
    <row r="110" spans="1:26" ht="14.25" customHeight="1" x14ac:dyDescent="0.3"/>
    <row r="111" spans="1:26" ht="14.25" customHeight="1" x14ac:dyDescent="0.3"/>
    <row r="112" spans="1:26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">
    <mergeCell ref="C57:D57"/>
    <mergeCell ref="C1:D2"/>
    <mergeCell ref="C17:F18"/>
    <mergeCell ref="B48:E48"/>
    <mergeCell ref="F48:F51"/>
    <mergeCell ref="C52:D56"/>
  </mergeCells>
  <hyperlinks>
    <hyperlink ref="B7" r:id="rId1" display="http://www.rest911.cl/" xr:uid="{00000000-0004-0000-0000-000000000000}"/>
  </hyperlinks>
  <printOptions horizontalCentered="1"/>
  <pageMargins left="0.23622047244094491" right="0.23622047244094491" top="0.74803149606299213" bottom="0.74803149606299213" header="0" footer="0"/>
  <pageSetup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ORDEN DE COMPRA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Basta Silva</dc:creator>
  <cp:lastModifiedBy>Claudio Sandoval Visscher</cp:lastModifiedBy>
  <dcterms:created xsi:type="dcterms:W3CDTF">2026-01-13T22:13:47Z</dcterms:created>
  <dcterms:modified xsi:type="dcterms:W3CDTF">2026-01-14T13:04:58Z</dcterms:modified>
</cp:coreProperties>
</file>